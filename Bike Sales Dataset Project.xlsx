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513" documentId="8_{ABC04089-7769-4E43-9915-B025B1F01043}" xr6:coauthVersionLast="47" xr6:coauthVersionMax="47" xr10:uidLastSave="{38FD7E70-BA95-407B-A4BB-8ACC7F4EB8D7}"/>
  <bookViews>
    <workbookView xWindow="-108" yWindow="-108" windowWidth="23256" windowHeight="12456" firstSheet="3" activeTab="3" xr2:uid="{00000000-000D-0000-FFFF-FFFF00000000}"/>
  </bookViews>
  <sheets>
    <sheet name="Raw Data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'Raw Data'!$A$1:$M$1001</definedName>
    <definedName name="_xlnm._FilterDatabase" localSheetId="1" hidden="1">'Working Sheet'!$A$1:$N$1027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58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<sst xmlns="http://schemas.openxmlformats.org/spreadsheetml/2006/main" count="16265" uniqueCount="47">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</sst>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36"/>
      <color rgb="FFFFFFFF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0" fillId="34" borderId="0" xfId="0" applyFill="1"/>
    <xf numFmtId="165" fontId="0" fillId="34" borderId="0" xfId="0" applyNumberFormat="1" applyFill="1"/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Dataset Project.xlsx]Pivot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</c:formatCode>
                <c:ptCount val="2"/>
                <c:pt idx="0">
                  <c:v>66428.571428571435</c:v>
                </c:pt>
                <c:pt idx="1">
                  <c:v>75384.61538461539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D-4A40-934C-B00E2C095B9C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</c:formatCode>
                <c:ptCount val="2"/>
                <c:pt idx="0">
                  <c:v>66000</c:v>
                </c:pt>
                <c:pt idx="1">
                  <c:v>70625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AD-4A40-934C-B00E2C095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11336"/>
        <c:axId val="23013896"/>
      </c:barChart>
      <c:catAx>
        <c:axId val="23011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3896"/>
        <c:crosses val="autoZero"/>
        <c:auto val="1"/>
        <c:lblAlgn val="ctr"/>
        <c:lblOffset val="100"/>
        <c:noMultiLvlLbl val="0"/>
      </c:catAx>
      <c:valAx>
        <c:axId val="2301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1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Dataset Project.xlsx]Pivot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18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CF-401C-9855-1B16F45C1654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13</c:v>
                </c:pt>
                <c:pt idx="1">
                  <c:v>5</c:v>
                </c:pt>
                <c:pt idx="2">
                  <c:v>12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CF-401C-9855-1B16F45C1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352520"/>
        <c:axId val="1605633543"/>
      </c:lineChart>
      <c:catAx>
        <c:axId val="188352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633543"/>
        <c:crosses val="autoZero"/>
        <c:auto val="1"/>
        <c:lblAlgn val="ctr"/>
        <c:lblOffset val="100"/>
        <c:noMultiLvlLbl val="0"/>
      </c:catAx>
      <c:valAx>
        <c:axId val="1605633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5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676662292213481"/>
          <c:y val="0.91145778652668419"/>
          <c:w val="0.24149796169095886"/>
          <c:h val="8.0935818274514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Dataset Project.xlsx]Pivot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Table'!$A$39:$A$41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Table'!$B$39:$B$41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9-4F30-9F75-8E059A0698DE}"/>
            </c:ext>
          </c:extLst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Table'!$A$39:$A$41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Table'!$C$39:$C$41</c:f>
              <c:numCache>
                <c:formatCode>General</c:formatCode>
                <c:ptCount val="2"/>
                <c:pt idx="0">
                  <c:v>30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79-4F30-9F75-8E059A069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1544839"/>
        <c:axId val="1792038407"/>
      </c:lineChart>
      <c:catAx>
        <c:axId val="1791544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038407"/>
        <c:crosses val="autoZero"/>
        <c:auto val="1"/>
        <c:lblAlgn val="ctr"/>
        <c:lblOffset val="100"/>
        <c:noMultiLvlLbl val="0"/>
      </c:catAx>
      <c:valAx>
        <c:axId val="1792038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44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952533475688422"/>
          <c:y val="0.91604418850628744"/>
          <c:w val="0.24047466524311581"/>
          <c:h val="8.3955811493712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Dataset Project.xlsx]Pivot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0000"/>
            </a:solidFill>
            <a:ln w="9525">
              <a:solidFill>
                <a:srgbClr val="80808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30549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05496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rgbClr val="808080"/>
                </a:solidFill>
                <a:prstDash val="solid"/>
              </a:ln>
              <a:effectLst/>
            </c:spPr>
          </c:marker>
          <c:cat>
            <c:strRef>
              <c:f>'Pivot Table'!$A$39:$A$41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Table'!$B$39:$B$41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71-4629-A783-A6730A4AFB23}"/>
            </c:ext>
          </c:extLst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30549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05496"/>
              </a:solidFill>
              <a:ln w="9525">
                <a:solidFill>
                  <a:srgbClr val="305496"/>
                </a:solidFill>
                <a:prstDash val="solid"/>
              </a:ln>
              <a:effectLst/>
            </c:spPr>
          </c:marker>
          <c:cat>
            <c:strRef>
              <c:f>'Pivot Table'!$A$39:$A$41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Table'!$C$39:$C$41</c:f>
              <c:numCache>
                <c:formatCode>General</c:formatCode>
                <c:ptCount val="2"/>
                <c:pt idx="0">
                  <c:v>30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71-4629-A783-A6730A4AF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1544839"/>
        <c:axId val="1792038407"/>
      </c:lineChart>
      <c:catAx>
        <c:axId val="1791544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038407"/>
        <c:crosses val="autoZero"/>
        <c:auto val="1"/>
        <c:lblAlgn val="ctr"/>
        <c:lblOffset val="100"/>
        <c:noMultiLvlLbl val="0"/>
      </c:catAx>
      <c:valAx>
        <c:axId val="1792038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ACB9CA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44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952533475688422"/>
          <c:y val="0.91604418850628744"/>
          <c:w val="0.24047466524311581"/>
          <c:h val="8.3955811493712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Dataset Project.xlsx]Pivot 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33F4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333F4F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</c:formatCode>
                <c:ptCount val="2"/>
                <c:pt idx="0">
                  <c:v>66428.571428571435</c:v>
                </c:pt>
                <c:pt idx="1">
                  <c:v>75384.61538461539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D-4E50-8B3F-564F6E5D77C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</c:formatCode>
                <c:ptCount val="2"/>
                <c:pt idx="0">
                  <c:v>66000</c:v>
                </c:pt>
                <c:pt idx="1">
                  <c:v>70625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DD-4E50-8B3F-564F6E5D7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11336"/>
        <c:axId val="23013896"/>
      </c:barChart>
      <c:catAx>
        <c:axId val="23011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3896"/>
        <c:crosses val="autoZero"/>
        <c:auto val="1"/>
        <c:lblAlgn val="ctr"/>
        <c:lblOffset val="100"/>
        <c:noMultiLvlLbl val="0"/>
      </c:catAx>
      <c:valAx>
        <c:axId val="23013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1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ACB9CA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Dataset Project.xlsx]Pivot Table!PivotTable3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0000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30549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33F4F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18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2-4E7D-B9D1-FA7251CD8D4B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30549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33F4F"/>
              </a:solidFill>
              <a:ln w="9525">
                <a:solidFill>
                  <a:srgbClr val="305496"/>
                </a:solidFill>
                <a:prstDash val="solid"/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13</c:v>
                </c:pt>
                <c:pt idx="1">
                  <c:v>5</c:v>
                </c:pt>
                <c:pt idx="2">
                  <c:v>12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02-4E7D-B9D1-FA7251CD8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52520"/>
        <c:axId val="1605633543"/>
      </c:lineChart>
      <c:catAx>
        <c:axId val="188352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633543"/>
        <c:crosses val="autoZero"/>
        <c:auto val="1"/>
        <c:lblAlgn val="ctr"/>
        <c:lblOffset val="100"/>
        <c:noMultiLvlLbl val="0"/>
      </c:catAx>
      <c:valAx>
        <c:axId val="1605633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ACB9CA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5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676662292213481"/>
          <c:y val="0.91145778652668419"/>
          <c:w val="0.12541883093342615"/>
          <c:h val="6.0811236433283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85725</xdr:rowOff>
    </xdr:from>
    <xdr:to>
      <xdr:col>12</xdr:col>
      <xdr:colOff>161925</xdr:colOff>
      <xdr:row>14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DB6966-AB09-6C9E-EEB9-DEAC7DB70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17</xdr:row>
      <xdr:rowOff>9525</xdr:rowOff>
    </xdr:from>
    <xdr:to>
      <xdr:col>11</xdr:col>
      <xdr:colOff>638175</xdr:colOff>
      <xdr:row>30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104F9-E131-AC86-2573-909FF43FB295}"/>
            </a:ext>
            <a:ext uri="{147F2762-F138-4A5C-976F-8EAC2B608ADB}">
              <a16:predDERef xmlns:a16="http://schemas.microsoft.com/office/drawing/2014/main" pred="{FADB6966-AB09-6C9E-EEB9-DEAC7DB70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47625</xdr:colOff>
      <xdr:row>33</xdr:row>
      <xdr:rowOff>171450</xdr:rowOff>
    </xdr:from>
    <xdr:to>
      <xdr:col>11</xdr:col>
      <xdr:colOff>685800</xdr:colOff>
      <xdr:row>47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1CF520-91AC-69B4-2EE5-FA0160503CF3}"/>
            </a:ext>
            <a:ext uri="{147F2762-F138-4A5C-976F-8EAC2B608ADB}">
              <a16:predDERef xmlns:a16="http://schemas.microsoft.com/office/drawing/2014/main" pred="{563104F9-E131-AC86-2573-909FF43FB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47625</xdr:rowOff>
    </xdr:from>
    <xdr:to>
      <xdr:col>18</xdr:col>
      <xdr:colOff>466725</xdr:colOff>
      <xdr:row>43</xdr:row>
      <xdr:rowOff>66675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7E49385E-DDAC-444E-9CDB-6006B18E9C2C}"/>
            </a:ext>
            <a:ext uri="{147F2762-F138-4A5C-976F-8EAC2B608ADB}">
              <a16:predDERef xmlns:a16="http://schemas.microsoft.com/office/drawing/2014/main" pred="{6AEB9B9A-E368-B7BB-CFB4-7F4F3B0BE42D}"/>
            </a:ext>
          </a:extLst>
        </xdr:cNvPr>
        <xdr:cNvSpPr/>
      </xdr:nvSpPr>
      <xdr:spPr>
        <a:xfrm>
          <a:off x="2381250" y="238125"/>
          <a:ext cx="10248900" cy="80200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295275</xdr:colOff>
      <xdr:row>20</xdr:row>
      <xdr:rowOff>104775</xdr:rowOff>
    </xdr:from>
    <xdr:to>
      <xdr:col>18</xdr:col>
      <xdr:colOff>438150</xdr:colOff>
      <xdr:row>21</xdr:row>
      <xdr:rowOff>133350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6AD5555D-0B13-B98C-B766-046B9119F3E5}"/>
            </a:ext>
            <a:ext uri="{147F2762-F138-4A5C-976F-8EAC2B608ADB}">
              <a16:predDERef xmlns:a16="http://schemas.microsoft.com/office/drawing/2014/main" pred="{7E49385E-DDAC-444E-9CDB-6006B18E9C2C}"/>
            </a:ext>
          </a:extLst>
        </xdr:cNvPr>
        <xdr:cNvSpPr/>
      </xdr:nvSpPr>
      <xdr:spPr>
        <a:xfrm>
          <a:off x="3771900" y="3914775"/>
          <a:ext cx="8829675" cy="21907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12</xdr:col>
      <xdr:colOff>276225</xdr:colOff>
      <xdr:row>9</xdr:row>
      <xdr:rowOff>95250</xdr:rowOff>
    </xdr:from>
    <xdr:to>
      <xdr:col>18</xdr:col>
      <xdr:colOff>400050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F66EB-CE2A-42D3-B406-677077C35B11}"/>
            </a:ext>
            <a:ext uri="{147F2762-F138-4A5C-976F-8EAC2B608ADB}">
              <a16:predDERef xmlns:a16="http://schemas.microsoft.com/office/drawing/2014/main" pred="{6AD5555D-0B13-B98C-B766-046B9119F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409575</xdr:colOff>
      <xdr:row>9</xdr:row>
      <xdr:rowOff>47625</xdr:rowOff>
    </xdr:from>
    <xdr:to>
      <xdr:col>12</xdr:col>
      <xdr:colOff>171450</xdr:colOff>
      <xdr:row>21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5B3DE2-A7F8-48D5-933E-7BB99500E0EA}"/>
            </a:ext>
            <a:ext uri="{147F2762-F138-4A5C-976F-8EAC2B608ADB}">
              <a16:predDERef xmlns:a16="http://schemas.microsoft.com/office/drawing/2014/main" pred="{7B3F66EB-CE2A-42D3-B406-677077C35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381000</xdr:colOff>
      <xdr:row>22</xdr:row>
      <xdr:rowOff>28575</xdr:rowOff>
    </xdr:from>
    <xdr:to>
      <xdr:col>18</xdr:col>
      <xdr:colOff>314325</xdr:colOff>
      <xdr:row>40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D5513F-1CE6-4B24-97D4-FE989CCAAB61}"/>
            </a:ext>
            <a:ext uri="{147F2762-F138-4A5C-976F-8EAC2B608ADB}">
              <a16:predDERef xmlns:a16="http://schemas.microsoft.com/office/drawing/2014/main" pred="{4D5B3DE2-A7F8-48D5-933E-7BB99500E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666750</xdr:colOff>
      <xdr:row>9</xdr:row>
      <xdr:rowOff>95250</xdr:rowOff>
    </xdr:from>
    <xdr:to>
      <xdr:col>4</xdr:col>
      <xdr:colOff>333375</xdr:colOff>
      <xdr:row>37</xdr:row>
      <xdr:rowOff>171450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B7033884-8E38-584B-95B1-46DB890693A2}"/>
            </a:ext>
            <a:ext uri="{147F2762-F138-4A5C-976F-8EAC2B608ADB}">
              <a16:predDERef xmlns:a16="http://schemas.microsoft.com/office/drawing/2014/main" pred="{D3D5513F-1CE6-4B24-97D4-FE989CCAAB61}"/>
            </a:ext>
          </a:extLst>
        </xdr:cNvPr>
        <xdr:cNvSpPr/>
      </xdr:nvSpPr>
      <xdr:spPr>
        <a:xfrm>
          <a:off x="2447925" y="1809750"/>
          <a:ext cx="1362075" cy="541020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absolute">
    <xdr:from>
      <xdr:col>2</xdr:col>
      <xdr:colOff>714375</xdr:colOff>
      <xdr:row>10</xdr:row>
      <xdr:rowOff>19050</xdr:rowOff>
    </xdr:from>
    <xdr:to>
      <xdr:col>4</xdr:col>
      <xdr:colOff>285750</xdr:colOff>
      <xdr:row>14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arital Status 1">
              <a:extLst>
                <a:ext uri="{FF2B5EF4-FFF2-40B4-BE49-F238E27FC236}">
                  <a16:creationId xmlns:a16="http://schemas.microsoft.com/office/drawing/2014/main" id="{9BC0594A-20D4-3D04-6D23-F8508A828541}"/>
                </a:ext>
                <a:ext uri="{147F2762-F138-4A5C-976F-8EAC2B608ADB}">
                  <a16:predDERef xmlns:a16="http://schemas.microsoft.com/office/drawing/2014/main" pred="{B7033884-8E38-584B-95B1-46DB890693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5550" y="1924050"/>
              <a:ext cx="126682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723900</xdr:colOff>
      <xdr:row>15</xdr:row>
      <xdr:rowOff>0</xdr:rowOff>
    </xdr:from>
    <xdr:to>
      <xdr:col>4</xdr:col>
      <xdr:colOff>285750</xdr:colOff>
      <xdr:row>23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6F83629B-AD28-5CAC-141E-302B58ACCEC9}"/>
                </a:ext>
                <a:ext uri="{147F2762-F138-4A5C-976F-8EAC2B608ADB}">
                  <a16:predDERef xmlns:a16="http://schemas.microsoft.com/office/drawing/2014/main" pred="{9BC0594A-20D4-3D04-6D23-F8508A8285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5075" y="2857500"/>
              <a:ext cx="125730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723900</xdr:colOff>
      <xdr:row>24</xdr:row>
      <xdr:rowOff>0</xdr:rowOff>
    </xdr:from>
    <xdr:to>
      <xdr:col>4</xdr:col>
      <xdr:colOff>276225</xdr:colOff>
      <xdr:row>30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5A697D46-EC21-587C-4F9E-D99B737D3100}"/>
                </a:ext>
                <a:ext uri="{147F2762-F138-4A5C-976F-8EAC2B608ADB}">
                  <a16:predDERef xmlns:a16="http://schemas.microsoft.com/office/drawing/2014/main" pred="{6F83629B-AD28-5CAC-141E-302B58ACCE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5075" y="4572000"/>
              <a:ext cx="1247775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581025</xdr:colOff>
      <xdr:row>1</xdr:row>
      <xdr:rowOff>47625</xdr:rowOff>
    </xdr:from>
    <xdr:to>
      <xdr:col>18</xdr:col>
      <xdr:colOff>447675</xdr:colOff>
      <xdr:row>9</xdr:row>
      <xdr:rowOff>66675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6AEB9B9A-E368-B7BB-CFB4-7F4F3B0BE42D}"/>
            </a:ext>
            <a:ext uri="{147F2762-F138-4A5C-976F-8EAC2B608ADB}">
              <a16:predDERef xmlns:a16="http://schemas.microsoft.com/office/drawing/2014/main" pred="{5A697D46-EC21-587C-4F9E-D99B737D3100}"/>
            </a:ext>
          </a:extLst>
        </xdr:cNvPr>
        <xdr:cNvSpPr/>
      </xdr:nvSpPr>
      <xdr:spPr>
        <a:xfrm>
          <a:off x="2362200" y="238125"/>
          <a:ext cx="10248900" cy="1543050"/>
        </a:xfrm>
        <a:prstGeom prst="roundRect">
          <a:avLst/>
        </a:prstGeom>
        <a:solidFill>
          <a:schemeClr val="tx2"/>
        </a:solidFill>
        <a:ln>
          <a:noFill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228600</xdr:colOff>
      <xdr:row>2</xdr:row>
      <xdr:rowOff>142875</xdr:rowOff>
    </xdr:from>
    <xdr:to>
      <xdr:col>16</xdr:col>
      <xdr:colOff>457200</xdr:colOff>
      <xdr:row>7</xdr:row>
      <xdr:rowOff>133350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AF93C16-33BD-82F7-0240-11F3A15AF97B}"/>
            </a:ext>
            <a:ext uri="{147F2762-F138-4A5C-976F-8EAC2B608ADB}">
              <a16:predDERef xmlns:a16="http://schemas.microsoft.com/office/drawing/2014/main" pred="{6AEB9B9A-E368-B7BB-CFB4-7F4F3B0BE42D}"/>
            </a:ext>
          </a:extLst>
        </xdr:cNvPr>
        <xdr:cNvSpPr txBox="1"/>
      </xdr:nvSpPr>
      <xdr:spPr>
        <a:xfrm>
          <a:off x="3705225" y="523875"/>
          <a:ext cx="7696200" cy="9429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4800" b="0" i="0">
              <a:solidFill>
                <a:schemeClr val="accent1">
                  <a:lumMod val="20000"/>
                  <a:lumOff val="80000"/>
                </a:schemeClr>
              </a:solidFill>
              <a:latin typeface="Aptos" panose="020B0004020202020204" pitchFamily="34" charset="0"/>
            </a:rPr>
            <a:t>Bike Sales Dashboard</a:t>
          </a:r>
        </a:p>
      </xdr:txBody>
    </xdr:sp>
    <xdr:clientData/>
  </xdr:twoCellAnchor>
  <xdr:twoCellAnchor>
    <xdr:from>
      <xdr:col>2</xdr:col>
      <xdr:colOff>733425</xdr:colOff>
      <xdr:row>30</xdr:row>
      <xdr:rowOff>142875</xdr:rowOff>
    </xdr:from>
    <xdr:to>
      <xdr:col>4</xdr:col>
      <xdr:colOff>276225</xdr:colOff>
      <xdr:row>37</xdr:row>
      <xdr:rowOff>19050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CEE6DAF7-4A42-A5B8-D708-14FD9152E2AE}"/>
            </a:ext>
            <a:ext uri="{147F2762-F138-4A5C-976F-8EAC2B608ADB}">
              <a16:predDERef xmlns:a16="http://schemas.microsoft.com/office/drawing/2014/main" pred="{3AF93C16-33BD-82F7-0240-11F3A15AF97B}"/>
            </a:ext>
          </a:extLst>
        </xdr:cNvPr>
        <xdr:cNvSpPr/>
      </xdr:nvSpPr>
      <xdr:spPr>
        <a:xfrm>
          <a:off x="2514600" y="5857875"/>
          <a:ext cx="1238250" cy="1209675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4.882417939814" createdVersion="8" refreshedVersion="8" minRefreshableVersion="3" recordCount="1000" xr:uid="{A159C9BF-08F6-434D-93C5-E67EAF334C2D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6">
        <s v="Middle Age"/>
        <s v="Old"/>
        <s v="Adolescent"/>
        <s v="Middle Age 31-54" u="1"/>
        <s v="Old 55+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300543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02B04-914F-4DAC-AB73-099A5CE0509B}" name="PivotTable3" cacheId="5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20:D27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h="1" x="0"/>
        <item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7F136-9E50-4519-8A0B-D5BEB4CC454E}" name="PivotTable1" cacheId="5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D7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h="1" x="0"/>
        <item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x="2"/>
        <item h="1"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D11E1-4576-47FB-8216-EAC4353F1F2B}" name="PivotTable4" cacheId="5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7:D41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h="1" x="0"/>
        <item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x="2"/>
        <item h="1" x="1"/>
        <item t="default"/>
      </items>
    </pivotField>
    <pivotField compact="0" outline="0" showAll="0"/>
    <pivotField axis="axisRow" compact="0" outline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88440950-76B0-42CA-A027-25C08D2535E1}" sourceName="Marital Status">
  <pivotTables>
    <pivotTable tabId="3" name="PivotTable1"/>
    <pivotTable tabId="3" name="PivotTable4"/>
    <pivotTable tabId="3" name="PivotTable3"/>
  </pivotTables>
  <data>
    <tabular pivotCacheId="130054363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458814CE-90CE-487A-9BF2-2DA08408DA75}" sourceName="Education">
  <pivotTables>
    <pivotTable tabId="3" name="PivotTable4"/>
    <pivotTable tabId="3" name="PivotTable3"/>
    <pivotTable tabId="3" name="PivotTable1"/>
  </pivotTables>
  <data>
    <tabular pivotCacheId="130054363">
      <items count="5">
        <i x="0"/>
        <i x="4" s="1"/>
        <i x="2"/>
        <i x="1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60EB1D63-AFA0-475C-BE85-862CAFBA81A2}" sourceName="Region">
  <pivotTables>
    <pivotTable tabId="3" name="PivotTable4"/>
    <pivotTable tabId="3" name="PivotTable3"/>
    <pivotTable tabId="3" name="PivotTable1"/>
  </pivotTables>
  <data>
    <tabular pivotCacheId="130054363">
      <items count="3">
        <i x="0"/>
        <i x="2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4B25FAD5-E345-4A55-A4AA-56AE98052831}" cache="Slicer_Marital_Status" caption="Marital Status" rowHeight="228600"/>
  <slicer name="Education" xr10:uid="{6BE22630-3810-4668-9F90-45C10B73631C}" cache="Slicer_Education" caption="Education" rowHeight="228600"/>
  <slicer name="Region" xr10:uid="{67DDA26D-0C14-464C-87EC-6F38E36272A6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J2" sqref="J2"/>
    </sheetView>
  </sheetViews>
  <sheetFormatPr defaultColWidth="20.140625"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3B21-14DE-488F-91DF-26A961A9E843}">
  <dimension ref="A1:N1001"/>
  <sheetViews>
    <sheetView workbookViewId="0">
      <selection activeCell="O10" sqref="O10"/>
    </sheetView>
  </sheetViews>
  <sheetFormatPr defaultColWidth="16.42578125" defaultRowHeight="15"/>
  <cols>
    <col min="4" max="4" width="16.42578125" style="3"/>
    <col min="10" max="10" width="18.42578125" customWidth="1"/>
    <col min="13" max="13" width="36.5703125" bestFit="1" customWidth="1"/>
  </cols>
  <sheetData>
    <row r="1" spans="1:14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36</v>
      </c>
      <c r="N1" s="7" t="s">
        <v>12</v>
      </c>
    </row>
    <row r="2" spans="1:14" ht="30.75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s="4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s="4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s="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s="4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s="4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s="4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s="4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s="4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s="4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s="4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s="4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s="4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s="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s="4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s="4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s="4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s="4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s="4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s="4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s="4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s="4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s="4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s="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s="4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s="4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s="4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s="4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s="4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s="4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s="4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s="4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s="4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s="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s="4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s="4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s="4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s="4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s="4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s="4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s="4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s="4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s="4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s="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s="4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s="4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s="4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s="4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s="4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s="4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s="4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s="4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s="4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s="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s="4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s="4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s="4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s="4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s="4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s="4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s="4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s="4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s="4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s="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s="4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s="4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s="4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s="4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s="4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s="4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s="4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s="4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s="4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s="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s="4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s="4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s="4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s="4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s="4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s="4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s="4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s="4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s="4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s="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s="4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s="4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s="4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s="4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s="4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s="4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s="4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s="4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s="4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s="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s="4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s="4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s="4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s="4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s="4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s="4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s="4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s="4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s="4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s="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s="4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s="4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s="4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s="4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s="4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s="4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s="4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s="4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s="4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s="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s="4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s="4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s="4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s="4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s="4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s="4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s="4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s="4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s="4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s="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s="4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s="4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s="4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s="4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s="4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s="4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s="4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s="4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s="4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s="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s="4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s="4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s="4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s="4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s="4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s="4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s="4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s="4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s="4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s="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s="4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s="4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s="4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s="4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s="4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s="4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s="4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s="4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s="4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s="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s="4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s="4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s="4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s="4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s="4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s="4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s="4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s="4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s="4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s="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s="4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s="4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s="4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s="4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s="4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s="4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s="4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s="4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s="4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s="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s="4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s="4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s="4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s="4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s="4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s="4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s="4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s="4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s="4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s="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s="4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s="4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s="4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s="4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s="4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s="4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s="4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s="4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s="4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s="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s="4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s="4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s="4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s="4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s="4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s="4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s="4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s="4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s="4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s="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s="4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s="4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s="4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s="4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s="4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s="4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s="4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s="4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s="4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s="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s="4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s="4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s="4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s="4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s="4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s="4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s="4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s="4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s="4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s="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s="4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s="4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s="4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s="4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s="4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s="4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s="4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s="4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s="4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s="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s="4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s="4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s="4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s="4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s="4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s="4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s="4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s="4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s="4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s="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s="4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s="4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s="4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s="4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s="4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s="4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s="4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s="4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s="4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s="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s="4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s="4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s="4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s="4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s="4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s="4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s="4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s="4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s="4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s="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s="4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s="4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s="4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s="4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s="4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s="4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s="4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s="4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s="4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s="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s="4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s="4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s="4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s="4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s="4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s="4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s="4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s="4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s="4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s="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s="4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s="4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s="4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s="4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s="4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s="4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s="4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s="4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s="4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s="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s="4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s="4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s="4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s="4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s="4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s="4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s="4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s="4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s="4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s="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s="4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s="4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s="4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s="4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s="4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s="4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s="4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s="4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s="4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s="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s="4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s="4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s="4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s="4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s="4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s="4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s="4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s="4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s="4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s="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s="4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s="4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s="4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s="4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s="4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s="4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s="4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s="4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s="4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s="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s="4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s="4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s="4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s="4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s="4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s="4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s="4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s="4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s="4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s="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s="4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s="4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s="4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s="4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s="4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s="4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s="4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s="4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s="4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s="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s="4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s="4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s="4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s="4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s="4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s="4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s="4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s="4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s="4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s="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s="4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s="4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s="4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s="4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s="4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s="4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s="4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s="4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s="4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s="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s="4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s="4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s="4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s="4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s="4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s="4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s="4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s="4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s="4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s="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s="4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s="4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s="4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s="4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s="4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s="4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s="4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s="4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s="4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s="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s="4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s="4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s="4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s="4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s="4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s="4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s="4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s="4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s="4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s="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s="4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s="4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s="4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s="4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s="4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s="4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s="4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s="4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s="4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s="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s="4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s="4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s="4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s="4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s="4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s="4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s="4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s="4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s="4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s="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s="4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s="4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s="4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s="4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s="4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s="4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s="4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s="4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s="4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s="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s="4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s="4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s="4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s="4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s="4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s="4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s="4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s="4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s="4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s="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s="4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s="4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s="4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s="4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s="4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s="4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s="4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s="4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s="4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s="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s="4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s="4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s="4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s="4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s="4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s="4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s="4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s="4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s="4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s="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s="4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s="4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s="4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s="4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s="4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s="4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s="4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s="4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s="4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s="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s="4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s="4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s="4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s="4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s="4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s="4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s="4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s="4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s="4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s="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s="4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s="4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s="4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s="4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s="4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s="4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s="4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s="4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s="4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s="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s="4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s="4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s="4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s="4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s="4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s="4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s="4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s="4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s="4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s="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s="4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s="4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s="4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s="4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s="4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s="4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s="4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s="4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s="4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s="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s="4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s="4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s="4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s="4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s="4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s="4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s="4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s="4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s="4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s="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s="4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s="4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s="4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s="4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s="4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s="4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s="4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s="4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s="4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s="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s="4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s="4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s="4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s="4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s="4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s="4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s="4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s="4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s="4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s="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s="4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s="4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s="4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s="4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s="4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s="4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s="4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s="4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s="4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s="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s="4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s="4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s="4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s="4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s="4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s="4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s="4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s="4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s="4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s="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s="4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s="4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s="4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s="4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s="4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s="4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s="4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s="4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s="4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s="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s="4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s="4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s="4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s="4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s="4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s="4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s="4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s="4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s="4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s="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s="4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s="4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s="4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s="4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s="4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s="4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s="4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s="4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s="4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s="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s="4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s="4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s="4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s="4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s="4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s="4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s="4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s="4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s="4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s="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s="4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s="4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s="4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s="4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s="4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s="4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s="4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s="4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s="4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s="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s="4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s="4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s="4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s="4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s="4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s="4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s="4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s="4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s="4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s="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s="4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s="4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s="4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s="4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s="4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s="4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s="4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s="4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s="4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s="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s="4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s="4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s="4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s="4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s="4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s="4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s="4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s="4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s="4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s="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s="4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s="4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s="4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s="4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s="4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s="4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s="4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s="4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s="4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s="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s="4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s="4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s="4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s="4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s="4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s="4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s="4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s="4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s="4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s="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s="4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s="4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s="4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s="4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s="4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s="4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s="4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s="4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s="4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s="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s="4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s="4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s="4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s="4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s="4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s="4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s="4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s="4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s="4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s="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s="4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s="4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s="4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s="4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s="4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s="4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s="4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s="4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s="4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s="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s="4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s="4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s="4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s="4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s="4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s="4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s="4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s="4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s="4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s="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s="4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s="4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s="4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s="4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s="4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s="4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s="4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s="4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s="4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s="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s="4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s="4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s="4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s="4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s="4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s="4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s="4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s="4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s="4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s="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s="4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s="4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s="4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s="4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s="4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s="4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s="4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s="4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s="4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s="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s="4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s="4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s="4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s="4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s="4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s="4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s="4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s="4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s="4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s="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s="4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s="4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s="4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s="4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s="4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s="4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s="4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s="4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s="4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s="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s="4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s="4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s="4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s="4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s="4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s="4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s="4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s="4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s="4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s="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s="4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s="4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s="4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s="4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s="4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s="4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s="4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s="4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s="4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s="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s="4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s="4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s="4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s="4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s="4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s="4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s="4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s="4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s="4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s="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s="4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s="4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s="4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s="4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s="4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s="4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s="4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s="4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s="4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s="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s="4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s="4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s="4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s="4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s="4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s="4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s="4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s="4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s="4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s="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s="4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s="4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s="4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s="4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s="4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s="4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s="4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s="4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s="4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s="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s="4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s="4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s="4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s="4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s="4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s="4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s="4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s="4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s="4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s="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s="4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s="4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s="4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s="4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s="4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s="4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s="4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s="4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s="4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s="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s="4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s="4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s="4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s="4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s="4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s="4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s="4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s="4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s="4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s="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s="4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s="4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s="4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s="4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s="4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s="4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s="4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s="4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s="4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s="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s="4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s="4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s="4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s="4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s="4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s="4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s="4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s="4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s="4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s="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s="4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s="4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s="4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s="4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s="4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s="4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s="4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s="4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s="4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s="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s="4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s="4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s="4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s="4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s="4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s="4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s="4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s="4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s="4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s="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s="4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s="4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s="4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s="4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s="4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s="4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s="4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s="4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s="4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s="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s="4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s="4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s="4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s="4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s="4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s="4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s="4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s="4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s="4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s="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s="4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s="4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s="4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s="4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s="4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s="4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s="4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s="4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s="4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s="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s="4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s="4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s="4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s="4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s="4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s="4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s="4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s="4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s="4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s="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s="4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s="4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s="4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s="4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s="4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s="4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s="4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s="4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s="4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s="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s="4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s="4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s="4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s="4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s="4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s="4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s="4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s="4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s="4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s="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s="4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s="4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s="4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s="4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s="4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s="4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s="4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s="4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s="4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s="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s="4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s="4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s="4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s="4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s="4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s="4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s="4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s="4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s="4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s="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s="4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s="4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s="4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s="4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s="4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s="4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s="4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s="4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s="4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s="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s="4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s="4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s="4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s="4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s="4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s="4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s="4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s="4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s="4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s="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s="4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s="4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s="4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s="4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s="4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s="4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s="4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s="4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s="4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s="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s="4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s="4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s="4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s="4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s="4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s="4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s="4" t="str">
        <f t="shared" si="15"/>
        <v>Middle Age</v>
      </c>
      <c r="N1001" t="s">
        <v>17</v>
      </c>
    </row>
  </sheetData>
  <autoFilter ref="A1:N1001" xr:uid="{D8383B21-14DE-488F-91DF-26A961A9E84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37EE-9BF7-4EC4-A43A-68E7FB6BA57B}">
  <dimension ref="A3:D41"/>
  <sheetViews>
    <sheetView workbookViewId="0">
      <selection activeCell="B22" sqref="B22"/>
    </sheetView>
  </sheetViews>
  <sheetFormatPr defaultRowHeight="15"/>
  <cols>
    <col min="1" max="2" width="17.5703125" bestFit="1" customWidth="1"/>
    <col min="3" max="3" width="7.85546875" customWidth="1"/>
    <col min="4" max="4" width="11.42578125" bestFit="1" customWidth="1"/>
    <col min="5" max="5" width="3.85546875" bestFit="1" customWidth="1"/>
    <col min="6" max="6" width="14.42578125" bestFit="1" customWidth="1"/>
    <col min="7" max="7" width="10.85546875" bestFit="1" customWidth="1"/>
    <col min="8" max="8" width="3.85546875" bestFit="1" customWidth="1"/>
    <col min="9" max="9" width="14" bestFit="1" customWidth="1"/>
    <col min="10" max="10" width="10.85546875" bestFit="1" customWidth="1"/>
    <col min="11" max="11" width="3.85546875" bestFit="1" customWidth="1"/>
    <col min="12" max="12" width="14" bestFit="1" customWidth="1"/>
    <col min="13" max="13" width="12" bestFit="1" customWidth="1"/>
    <col min="14" max="14" width="3.85546875" bestFit="1" customWidth="1"/>
    <col min="15" max="15" width="15.140625" bestFit="1" customWidth="1"/>
    <col min="16" max="16" width="11.42578125" bestFit="1" customWidth="1"/>
  </cols>
  <sheetData>
    <row r="3" spans="1:4">
      <c r="A3" s="5" t="s">
        <v>42</v>
      </c>
      <c r="B3" s="5" t="s">
        <v>12</v>
      </c>
    </row>
    <row r="4" spans="1:4">
      <c r="A4" s="5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3">
        <v>66428.571428571435</v>
      </c>
      <c r="C5" s="3">
        <v>66000</v>
      </c>
      <c r="D5" s="3">
        <v>66206.896551724145</v>
      </c>
    </row>
    <row r="6" spans="1:4">
      <c r="A6" t="s">
        <v>39</v>
      </c>
      <c r="B6" s="3">
        <v>75384.61538461539</v>
      </c>
      <c r="C6" s="3">
        <v>70625</v>
      </c>
      <c r="D6" s="3">
        <v>73571.428571428565</v>
      </c>
    </row>
    <row r="7" spans="1:4">
      <c r="A7" t="s">
        <v>43</v>
      </c>
      <c r="B7" s="3">
        <v>72250</v>
      </c>
      <c r="C7" s="3">
        <v>68387.096774193546</v>
      </c>
      <c r="D7" s="3">
        <v>70563.380281690144</v>
      </c>
    </row>
    <row r="20" spans="1:4">
      <c r="A20" s="5" t="s">
        <v>44</v>
      </c>
      <c r="B20" s="5" t="s">
        <v>12</v>
      </c>
    </row>
    <row r="21" spans="1:4">
      <c r="A21" s="5" t="s">
        <v>9</v>
      </c>
      <c r="B21" t="s">
        <v>20</v>
      </c>
      <c r="C21" t="s">
        <v>17</v>
      </c>
      <c r="D21" t="s">
        <v>43</v>
      </c>
    </row>
    <row r="22" spans="1:4">
      <c r="A22" t="s">
        <v>18</v>
      </c>
      <c r="B22" s="6">
        <v>18</v>
      </c>
      <c r="C22" s="6">
        <v>13</v>
      </c>
      <c r="D22" s="6">
        <v>31</v>
      </c>
    </row>
    <row r="23" spans="1:4">
      <c r="A23" t="s">
        <v>29</v>
      </c>
      <c r="B23" s="6">
        <v>7</v>
      </c>
      <c r="C23" s="6">
        <v>5</v>
      </c>
      <c r="D23" s="6">
        <v>12</v>
      </c>
    </row>
    <row r="24" spans="1:4">
      <c r="A24" t="s">
        <v>24</v>
      </c>
      <c r="B24" s="6">
        <v>4</v>
      </c>
      <c r="C24" s="6">
        <v>12</v>
      </c>
      <c r="D24" s="6">
        <v>16</v>
      </c>
    </row>
    <row r="25" spans="1:4">
      <c r="A25" t="s">
        <v>26</v>
      </c>
      <c r="B25" s="6">
        <v>7</v>
      </c>
      <c r="C25" s="6">
        <v>1</v>
      </c>
      <c r="D25" s="6">
        <v>8</v>
      </c>
    </row>
    <row r="26" spans="1:4">
      <c r="A26" t="s">
        <v>41</v>
      </c>
      <c r="B26" s="6">
        <v>4</v>
      </c>
      <c r="C26" s="6"/>
      <c r="D26" s="6">
        <v>4</v>
      </c>
    </row>
    <row r="27" spans="1:4">
      <c r="A27" t="s">
        <v>43</v>
      </c>
      <c r="B27" s="6">
        <v>40</v>
      </c>
      <c r="C27" s="6">
        <v>31</v>
      </c>
      <c r="D27" s="6">
        <v>71</v>
      </c>
    </row>
    <row r="37" spans="1:4">
      <c r="A37" s="5" t="s">
        <v>44</v>
      </c>
      <c r="B37" s="5" t="s">
        <v>12</v>
      </c>
    </row>
    <row r="38" spans="1:4">
      <c r="A38" s="5" t="s">
        <v>36</v>
      </c>
      <c r="B38" t="s">
        <v>20</v>
      </c>
      <c r="C38" t="s">
        <v>17</v>
      </c>
      <c r="D38" t="s">
        <v>43</v>
      </c>
    </row>
    <row r="39" spans="1:4">
      <c r="A39" t="s">
        <v>45</v>
      </c>
      <c r="B39" s="6">
        <v>25</v>
      </c>
      <c r="C39" s="6">
        <v>30</v>
      </c>
      <c r="D39" s="6">
        <v>55</v>
      </c>
    </row>
    <row r="40" spans="1:4">
      <c r="A40" t="s">
        <v>46</v>
      </c>
      <c r="B40" s="6">
        <v>15</v>
      </c>
      <c r="C40" s="6">
        <v>1</v>
      </c>
      <c r="D40" s="6">
        <v>16</v>
      </c>
    </row>
    <row r="41" spans="1:4">
      <c r="A41" t="s">
        <v>43</v>
      </c>
      <c r="B41" s="6">
        <v>40</v>
      </c>
      <c r="C41" s="6">
        <v>31</v>
      </c>
      <c r="D41" s="6">
        <v>71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B2BC-14AC-440B-8B6B-9916386A9217}">
  <dimension ref="A1:O4"/>
  <sheetViews>
    <sheetView showGridLines="0" tabSelected="1" workbookViewId="0">
      <selection activeCell="X12" sqref="X12"/>
    </sheetView>
  </sheetViews>
  <sheetFormatPr defaultRowHeight="15"/>
  <cols>
    <col min="2" max="3" width="17.5703125" bestFit="1" customWidth="1"/>
    <col min="4" max="4" width="7.85546875" bestFit="1" customWidth="1"/>
    <col min="5" max="5" width="11.42578125" bestFit="1" customWidth="1"/>
  </cols>
  <sheetData>
    <row r="1" spans="1:15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</sheetData>
  <mergeCells count="1">
    <mergeCell ref="A1:O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 rodriguez</cp:lastModifiedBy>
  <cp:revision/>
  <dcterms:created xsi:type="dcterms:W3CDTF">2022-03-18T02:50:57Z</dcterms:created>
  <dcterms:modified xsi:type="dcterms:W3CDTF">2026-04-26T05:33:05Z</dcterms:modified>
  <cp:category/>
  <cp:contentStatus/>
</cp:coreProperties>
</file>